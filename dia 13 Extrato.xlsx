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NAB\"/>
    </mc:Choice>
  </mc:AlternateContent>
  <xr:revisionPtr revIDLastSave="0" documentId="13_ncr:9_{8FCA3770-293B-455B-99BF-4F71052477EE}" xr6:coauthVersionLast="47" xr6:coauthVersionMax="47" xr10:uidLastSave="{00000000-0000-0000-0000-000000000000}"/>
  <bookViews>
    <workbookView xWindow="-110" yWindow="-110" windowWidth="25820" windowHeight="15500" xr2:uid="{618E09C5-BDEB-4D07-A31C-BB2173B8C44D}"/>
  </bookViews>
  <sheets>
    <sheet name="dia 13 Extrato" sheetId="1" r:id="rId1"/>
  </sheets>
  <calcPr calcId="0"/>
</workbook>
</file>

<file path=xl/calcChain.xml><?xml version="1.0" encoding="utf-8"?>
<calcChain xmlns="http://schemas.openxmlformats.org/spreadsheetml/2006/main">
  <c r="F27" i="1" l="1"/>
  <c r="F18" i="1"/>
  <c r="E18" i="1"/>
  <c r="E14" i="1"/>
</calcChain>
</file>

<file path=xl/sharedStrings.xml><?xml version="1.0" encoding="utf-8"?>
<sst xmlns="http://schemas.openxmlformats.org/spreadsheetml/2006/main" count="35" uniqueCount="30">
  <si>
    <t xml:space="preserve">                         Caixa Econômica Federal</t>
  </si>
  <si>
    <t xml:space="preserve">                              GovConta Caixa</t>
  </si>
  <si>
    <t xml:space="preserve">                     Extrato das Contas Individuais</t>
  </si>
  <si>
    <t xml:space="preserve">Conta de Referência..: 1070/3703/000574431336-9 PM DE BRACO DO NORTE            </t>
  </si>
  <si>
    <t>Formato Anterior..: (alterado em 15/09/2025) 1070/006/00000001-2</t>
  </si>
  <si>
    <t>Data de Solicitação..: 14/02/2026 02:44:52 PM</t>
  </si>
  <si>
    <t>Data de Referência...: 13/02/2026 - 13/02/2026</t>
  </si>
  <si>
    <t>Data Mov</t>
  </si>
  <si>
    <t>Nr.Doc</t>
  </si>
  <si>
    <t>Histórico</t>
  </si>
  <si>
    <t>Valor (R$)</t>
  </si>
  <si>
    <t>-</t>
  </si>
  <si>
    <t>SALDO ANTERIOR</t>
  </si>
  <si>
    <t>COB INTERN</t>
  </si>
  <si>
    <t>COB LOT DH</t>
  </si>
  <si>
    <t>COB COMPE</t>
  </si>
  <si>
    <t>3,98D</t>
  </si>
  <si>
    <t>COB LOTERI</t>
  </si>
  <si>
    <t>23,88D</t>
  </si>
  <si>
    <t>73,63D</t>
  </si>
  <si>
    <t>BOL PIX OB</t>
  </si>
  <si>
    <t>COB RET ON</t>
  </si>
  <si>
    <t>0,08D</t>
  </si>
  <si>
    <t>TR LIQ PIX</t>
  </si>
  <si>
    <t>9,95D</t>
  </si>
  <si>
    <t>APLIC AUTOMATICA FUNDO</t>
  </si>
  <si>
    <t>33.856,84D</t>
  </si>
  <si>
    <t>SALDO FINAL</t>
  </si>
  <si>
    <t>Betha</t>
  </si>
  <si>
    <t>Diferenca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</si>
</sst>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4" fontId="16" fillId="0" borderId="0" xfId="0" applyNumberFormat="1" applyFont="1"/>
    <xf numFmtId="0" fontId="16" fillId="0" borderId="0" xfId="0" applyFont="1"/>
    <xf numFmtId="4" fontId="16" fillId="33" borderId="0" xfId="0" applyNumberFormat="1" applyFont="1" applyFill="1"/>
    <xf numFmtId="43" fontId="16" fillId="0" borderId="0" xfId="1" applyFont="1"/>
    <xf numFmtId="0" fontId="16" fillId="33" borderId="0" xfId="0" applyFont="1" applyFill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11D7-2965-4D89-A459-67D36DE53A37}">
  <dimension ref="A1:G27"/>
  <sheetViews>
    <sheetView tabSelected="1" workbookViewId="0">
      <selection activeCell="I32" sqref="I32"/>
    </sheetView>
  </sheetViews>
  <sheetFormatPr defaultRowHeight="14.5" x14ac:dyDescent="0.35"/>
  <cols>
    <col min="1" max="1" width="11.54296875" customWidth="1"/>
    <col min="2" max="2" width="9.90625" customWidth="1"/>
    <col min="3" max="3" width="23.7265625" bestFit="1" customWidth="1"/>
    <col min="4" max="4" width="12.1796875" customWidth="1"/>
    <col min="5" max="5" width="11.90625" customWidth="1"/>
    <col min="6" max="6" width="10.81640625" customWidth="1"/>
  </cols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</row>
    <row r="5" spans="1:6" x14ac:dyDescent="0.35">
      <c r="A5" t="s">
        <v>3</v>
      </c>
    </row>
    <row r="6" spans="1:6" x14ac:dyDescent="0.35">
      <c r="A6" t="s">
        <v>4</v>
      </c>
    </row>
    <row r="7" spans="1:6" x14ac:dyDescent="0.35">
      <c r="A7" t="s">
        <v>5</v>
      </c>
    </row>
    <row r="8" spans="1:6" x14ac:dyDescent="0.35">
      <c r="A8" t="s">
        <v>6</v>
      </c>
    </row>
    <row r="10" spans="1:6" x14ac:dyDescent="0.35">
      <c r="A10" t="s">
        <v>7</v>
      </c>
      <c r="B10" t="s">
        <v>8</v>
      </c>
      <c r="C10" t="s">
        <v>9</v>
      </c>
      <c r="D10" t="s">
        <v>10</v>
      </c>
    </row>
    <row r="11" spans="1:6" x14ac:dyDescent="0.35">
      <c r="A11" s="1">
        <v>46065</v>
      </c>
      <c r="B11" t="s">
        <v>11</v>
      </c>
      <c r="C11" t="s">
        <v>12</v>
      </c>
      <c r="D11" t="s">
        <v>11</v>
      </c>
    </row>
    <row r="12" spans="1:6" x14ac:dyDescent="0.35">
      <c r="A12" s="1">
        <v>46066</v>
      </c>
      <c r="B12">
        <v>120226</v>
      </c>
      <c r="C12" t="s">
        <v>13</v>
      </c>
      <c r="D12">
        <v>352.64</v>
      </c>
    </row>
    <row r="13" spans="1:6" x14ac:dyDescent="0.35">
      <c r="A13" s="1">
        <v>46066</v>
      </c>
      <c r="B13">
        <v>120226</v>
      </c>
      <c r="C13" t="s">
        <v>14</v>
      </c>
      <c r="D13" s="2">
        <v>6733.41</v>
      </c>
      <c r="E13" s="2"/>
    </row>
    <row r="14" spans="1:6" x14ac:dyDescent="0.35">
      <c r="A14" s="1">
        <v>46066</v>
      </c>
      <c r="B14">
        <v>120226</v>
      </c>
      <c r="C14" t="s">
        <v>15</v>
      </c>
      <c r="D14" s="2">
        <v>22032.7</v>
      </c>
      <c r="E14" s="3">
        <f>SUM(D12:D14)</f>
        <v>29118.75</v>
      </c>
      <c r="F14" s="4"/>
    </row>
    <row r="15" spans="1:6" x14ac:dyDescent="0.35">
      <c r="A15" s="1">
        <v>46066</v>
      </c>
      <c r="B15">
        <v>120226</v>
      </c>
      <c r="C15" t="s">
        <v>13</v>
      </c>
      <c r="D15" t="s">
        <v>16</v>
      </c>
      <c r="E15" s="3"/>
      <c r="F15" s="4"/>
    </row>
    <row r="16" spans="1:6" x14ac:dyDescent="0.35">
      <c r="A16" s="1">
        <v>46066</v>
      </c>
      <c r="B16">
        <v>120226</v>
      </c>
      <c r="C16" t="s">
        <v>17</v>
      </c>
      <c r="D16" t="s">
        <v>18</v>
      </c>
      <c r="E16" s="3"/>
      <c r="F16" s="4"/>
    </row>
    <row r="17" spans="1:7" x14ac:dyDescent="0.35">
      <c r="A17" s="1">
        <v>46066</v>
      </c>
      <c r="B17">
        <v>120226</v>
      </c>
      <c r="C17" t="s">
        <v>15</v>
      </c>
      <c r="D17" t="s">
        <v>19</v>
      </c>
      <c r="E17" s="3"/>
      <c r="F17" s="4"/>
    </row>
    <row r="18" spans="1:7" x14ac:dyDescent="0.35">
      <c r="A18" s="1">
        <v>46066</v>
      </c>
      <c r="B18">
        <v>130226</v>
      </c>
      <c r="C18" t="s">
        <v>20</v>
      </c>
      <c r="D18" s="2">
        <v>4849.6099999999997</v>
      </c>
      <c r="E18" s="3">
        <f>SUM(D18)</f>
        <v>4849.6099999999997</v>
      </c>
      <c r="F18" s="5">
        <f>E18+E14</f>
        <v>33968.36</v>
      </c>
    </row>
    <row r="19" spans="1:7" x14ac:dyDescent="0.35">
      <c r="A19" s="1">
        <v>46066</v>
      </c>
      <c r="B19">
        <v>130226</v>
      </c>
      <c r="C19" t="s">
        <v>21</v>
      </c>
      <c r="D19" t="s">
        <v>22</v>
      </c>
      <c r="E19" s="2"/>
    </row>
    <row r="20" spans="1:7" x14ac:dyDescent="0.35">
      <c r="A20" s="1">
        <v>46066</v>
      </c>
      <c r="B20">
        <v>130226</v>
      </c>
      <c r="C20" t="s">
        <v>23</v>
      </c>
      <c r="D20" t="s">
        <v>24</v>
      </c>
      <c r="E20" s="2"/>
    </row>
    <row r="21" spans="1:7" x14ac:dyDescent="0.35">
      <c r="A21" s="1">
        <v>46066</v>
      </c>
      <c r="B21">
        <v>0</v>
      </c>
      <c r="C21" t="s">
        <v>25</v>
      </c>
      <c r="D21" t="s">
        <v>26</v>
      </c>
    </row>
    <row r="22" spans="1:7" x14ac:dyDescent="0.35">
      <c r="A22" s="1">
        <v>46066</v>
      </c>
      <c r="B22" t="s">
        <v>11</v>
      </c>
      <c r="C22" t="s">
        <v>27</v>
      </c>
      <c r="D22" t="s">
        <v>11</v>
      </c>
    </row>
    <row r="26" spans="1:7" x14ac:dyDescent="0.35">
      <c r="F26" s="6">
        <v>34101.440000000002</v>
      </c>
      <c r="G26" t="s">
        <v>28</v>
      </c>
    </row>
    <row r="27" spans="1:7" x14ac:dyDescent="0.35">
      <c r="F27" s="5">
        <f>F26-F18</f>
        <v>133.08000000000175</v>
      </c>
      <c r="G27" s="7" t="s">
        <v>29</v>
      </c>
    </row>
  </sheetData>
  <pageMargins left="0.511811024" right="0.511811024" top="0.78740157499999996" bottom="0.78740157499999996" header="0.31496062000000002" footer="0.31496062000000002"/>
</worksheet>
</file>